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wilcoxo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<sst xmlns="http://schemas.openxmlformats.org/spreadsheetml/2006/main" count="20" uniqueCount="11">
  <si>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cnncosdotproduct</t>
  </si>
  <si>
    <t>cnnVaswani</t>
  </si>
  <si>
    <t>cnnnoattn</t>
  </si>
  <si>
    <t>grucosdotproduct</t>
  </si>
  <si>
    <t>gruVaswani</t>
  </si>
  <si>
    <t>grunoattn</t>
  </si>
  <si>
    <t>seed</t>
  </si>
  <si>
    <t>mean</t>
  </si>
  <si>
    <t>var</t>
  </si>
  <si>
    <t>std</t>
  </si>
  <si>
    <t>wilcoxon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</si>
</sst>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D18" sqref="D18"/>
    </sheetView>
  </sheetViews>
  <sheetFormatPr defaultColWidth="9" defaultRowHeight="14" outlineLevelCol="7"/>
  <cols>
    <col min="1" max="1" width="27.8181818181818" customWidth="1"/>
    <col min="2" max="2" width="23.3636363636364" customWidth="1"/>
    <col min="3" max="3" width="20" customWidth="1"/>
    <col min="4" max="4" width="21.7272727272727" customWidth="1"/>
    <col min="5" max="5" width="21.6363636363636" customWidth="1"/>
    <col min="6" max="6" width="18.8181818181818" customWidth="1"/>
    <col min="7" max="7" width="16.454545454545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8">
      <c r="A2">
        <v>0.9449</v>
      </c>
      <c r="B2">
        <v>0.9487</v>
      </c>
      <c r="C2">
        <v>0.9374</v>
      </c>
      <c r="D2">
        <v>0.9751</v>
      </c>
      <c r="E2">
        <v>0.9731</v>
      </c>
      <c r="F2">
        <v>0.9753</v>
      </c>
      <c r="G2">
        <v>1</v>
      </c>
    </row>
    <row r="3" spans="1:8">
      <c r="A3">
        <v>0.9384</v>
      </c>
      <c r="B3">
        <v>0.9526</v>
      </c>
      <c r="C3">
        <v>0.9465</v>
      </c>
      <c r="D3">
        <v>0.9776</v>
      </c>
      <c r="E3">
        <v>0.9755</v>
      </c>
      <c r="F3">
        <v>0.9688</v>
      </c>
      <c r="G3">
        <v>2</v>
      </c>
    </row>
    <row r="4" spans="1:8">
      <c r="A4">
        <v>0.9406</v>
      </c>
      <c r="B4">
        <v>0.9431</v>
      </c>
      <c r="C4">
        <v>0.9507</v>
      </c>
      <c r="D4">
        <v>0.9745</v>
      </c>
      <c r="E4">
        <v>0.9796</v>
      </c>
      <c r="F4">
        <v>0.9731</v>
      </c>
      <c r="G4">
        <v>3</v>
      </c>
    </row>
    <row r="5" spans="1:8">
      <c r="A5">
        <v>0.9404</v>
      </c>
      <c r="B5">
        <v>0.9428</v>
      </c>
      <c r="C5">
        <v>0.9391</v>
      </c>
      <c r="D5">
        <v>0.9768</v>
      </c>
      <c r="E5">
        <v>0.9751</v>
      </c>
      <c r="F5">
        <v>0.9711</v>
      </c>
      <c r="G5">
        <v>4</v>
      </c>
    </row>
    <row r="6" spans="1:8">
      <c r="A6">
        <v>0.9459</v>
      </c>
      <c r="B6">
        <v>0.9343</v>
      </c>
      <c r="C6">
        <v>0.9419</v>
      </c>
      <c r="D6">
        <v>0.9739</v>
      </c>
      <c r="E6">
        <v>0.9752</v>
      </c>
      <c r="F6">
        <v>0.9757</v>
      </c>
      <c r="G6">
        <v>5</v>
      </c>
    </row>
    <row r="7" spans="1:8">
      <c r="A7">
        <v>0.9409</v>
      </c>
      <c r="B7">
        <v>0.9526</v>
      </c>
      <c r="C7">
        <v>0.9516</v>
      </c>
      <c r="D7">
        <v>0.9812</v>
      </c>
      <c r="E7">
        <v>0.9765</v>
      </c>
      <c r="F7">
        <v>0.9726</v>
      </c>
      <c r="G7">
        <v>6</v>
      </c>
    </row>
    <row r="8" spans="1:8">
      <c r="A8">
        <v>0.9432</v>
      </c>
      <c r="B8">
        <v>0.9387</v>
      </c>
      <c r="C8">
        <v>0.9381</v>
      </c>
      <c r="D8">
        <v>0.9799</v>
      </c>
      <c r="E8">
        <v>0.9761</v>
      </c>
      <c r="F8">
        <v>0.9665</v>
      </c>
      <c r="G8">
        <v>7</v>
      </c>
    </row>
    <row r="9" spans="1:8">
      <c r="A9">
        <v>0.9405</v>
      </c>
      <c r="B9">
        <v>0.9456</v>
      </c>
      <c r="C9">
        <v>0.9463</v>
      </c>
      <c r="D9">
        <v>0.9827</v>
      </c>
      <c r="E9">
        <v>0.9766</v>
      </c>
      <c r="F9">
        <v>0.9672</v>
      </c>
      <c r="G9">
        <v>8</v>
      </c>
    </row>
    <row r="10" spans="1:8">
      <c r="A10">
        <v>0.9392</v>
      </c>
      <c r="B10">
        <v>0.9377</v>
      </c>
      <c r="C10">
        <v>0.9411</v>
      </c>
      <c r="D10">
        <v>0.9768</v>
      </c>
      <c r="E10">
        <v>0.9753</v>
      </c>
      <c r="F10">
        <v>0.9728</v>
      </c>
      <c r="G10">
        <v>9</v>
      </c>
    </row>
    <row r="11" spans="1:8">
      <c r="A11">
        <v>0.9472</v>
      </c>
      <c r="B11">
        <v>0.9471</v>
      </c>
      <c r="C11">
        <v>0.9458</v>
      </c>
      <c r="D11">
        <v>0.9786</v>
      </c>
      <c r="E11">
        <v>0.9764</v>
      </c>
      <c r="F11">
        <v>0.9675</v>
      </c>
      <c r="G11">
        <v>10</v>
      </c>
    </row>
    <row r="12" spans="1:8">
      <c r="A12">
        <f>AVERAGE(A2:A11)</f>
        <v>0.94212</v>
      </c>
      <c r="B12">
        <f>AVERAGE(B2:B11)</f>
        <v>0.94432</v>
      </c>
      <c r="C12">
        <f>AVERAGE(C2:C11)</f>
        <v>0.94385</v>
      </c>
      <c r="D12">
        <f>AVERAGE(D2:D11)</f>
        <v>0.97771</v>
      </c>
      <c r="E12">
        <f>AVERAGE(E2:E11)</f>
        <v>0.97594</v>
      </c>
      <c r="F12">
        <f>AVERAGE(F2:F11)</f>
        <v>0.97106</v>
      </c>
      <c r="H12" t="s">
        <v>7</v>
      </c>
    </row>
    <row r="13" spans="1:8">
      <c r="A13">
        <f>VAR(A2:A11)</f>
        <v>8.97066666666664e-6</v>
      </c>
      <c r="B13">
        <f>VAR(B2:B11)</f>
        <v>3.8364e-5</v>
      </c>
      <c r="C13">
        <f>VAR(C2:C11)</f>
        <v>2.58227777777776e-5</v>
      </c>
      <c r="D13">
        <f>VAR(D2:D11)</f>
        <v>8.441e-6</v>
      </c>
      <c r="E13">
        <f>VAR(E2:E11)</f>
        <v>2.70044444444452e-6</v>
      </c>
      <c r="F13">
        <f>VAR(F2:F11)</f>
        <v>1.13937777777777e-5</v>
      </c>
      <c r="H13" t="s">
        <v>8</v>
      </c>
    </row>
    <row r="14" spans="1:8">
      <c r="A14">
        <f>A13^0.5</f>
        <v>0.00299510712106707</v>
      </c>
      <c r="B14">
        <f>B13^0.5</f>
        <v>0.00619386793530505</v>
      </c>
      <c r="C14">
        <f>C13^0.5</f>
        <v>0.0050816117303251</v>
      </c>
      <c r="D14">
        <f>D13^0.5</f>
        <v>0.00290533991126684</v>
      </c>
      <c r="E14">
        <f>E13^0.5</f>
        <v>0.0016433029070882</v>
      </c>
      <c r="F14">
        <f>F13^0.5</f>
        <v>0.00337546704587346</v>
      </c>
      <c r="H14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C9" sqref="C9"/>
    </sheetView>
  </sheetViews>
  <sheetFormatPr defaultColWidth="9" defaultRowHeight="14" outlineLevelRow="3" outlineLevelCol="7"/>
  <cols>
    <col min="2" max="2" width="24.3636363636364" customWidth="1"/>
    <col min="3" max="3" width="21.0909090909091" customWidth="1"/>
    <col min="4" max="4" width="18.6363636363636" customWidth="1"/>
    <col min="5" max="5" width="23.4545454545455" customWidth="1"/>
    <col min="6" max="6" width="21.1818181818182" customWidth="1"/>
    <col min="7" max="7" width="19.9090909090909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6</v>
      </c>
    </row>
    <row r="2" spans="1:8">
      <c r="A2" t="s">
        <v>10</v>
      </c>
      <c r="C2">
        <v>0.2248</v>
      </c>
      <c r="D2">
        <v>0.2481</v>
      </c>
      <c r="F2">
        <v>0.9297</v>
      </c>
      <c r="G2">
        <v>0.9995</v>
      </c>
    </row>
    <row r="3" spans="1:8">
      <c r="A3" t="s">
        <v>7</v>
      </c>
    </row>
    <row r="4" spans="1:8">
      <c r="A4" t="s">
        <v>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wilcoxon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陆星辰</cp:lastModifiedBy>
  <dcterms:created xsi:type="dcterms:W3CDTF">2023-05-12T11:15:00Z</dcterms:created>
  <dcterms:modified xsi:type="dcterms:W3CDTF">2025-11-16T07:50:30Z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06E15826DC0F4632AB70FE994298C8EC_12</vt:lpwstr>
  </property>
  <property fmtid="{D5CDD505-2E9C-101B-9397-08002B2CF9AE}" pid="4" name="KSOReadingLayout">
    <vt:bool>true</vt:bool>
  </property>
</Properties>
</file>